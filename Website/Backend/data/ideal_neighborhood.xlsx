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ilangpamungkas/Documents/"/>
    </mc:Choice>
  </mc:AlternateContent>
  <xr:revisionPtr revIDLastSave="0" documentId="8_{B104D8D8-2C56-DD42-9D16-751084FD327B}" xr6:coauthVersionLast="47" xr6:coauthVersionMax="47" xr10:uidLastSave="{00000000-0000-0000-0000-000000000000}"/>
  <bookViews>
    <workbookView xWindow="0" yWindow="740" windowWidth="29400" windowHeight="18380" xr2:uid="{EB91D25A-82E6-5343-923F-B3D3A6A42EA1}"/>
  </bookViews>
  <sheets>
    <sheet name="data" sheetId="1" r:id="rId1"/>
    <sheet name="scale slider" sheetId="3" r:id="rId2"/>
    <sheet name="notes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3" l="1"/>
  <c r="F2" i="3"/>
  <c r="G2" i="3"/>
  <c r="H2" i="3"/>
  <c r="I2" i="3"/>
  <c r="J2" i="3"/>
  <c r="K2" i="3"/>
  <c r="L2" i="3"/>
  <c r="M2" i="3"/>
  <c r="N2" i="3"/>
  <c r="E3" i="3"/>
  <c r="F3" i="3"/>
  <c r="G3" i="3"/>
  <c r="H3" i="3"/>
  <c r="I3" i="3"/>
  <c r="J3" i="3"/>
  <c r="K3" i="3"/>
  <c r="L3" i="3"/>
  <c r="M3" i="3"/>
  <c r="N3" i="3"/>
  <c r="E4" i="3"/>
  <c r="F4" i="3"/>
  <c r="G4" i="3"/>
  <c r="H4" i="3"/>
  <c r="I4" i="3"/>
  <c r="J4" i="3"/>
  <c r="K4" i="3"/>
  <c r="L4" i="3"/>
  <c r="M4" i="3"/>
  <c r="N4" i="3"/>
  <c r="D2" i="3"/>
  <c r="D3" i="3"/>
  <c r="D4" i="3"/>
  <c r="C4" i="3"/>
  <c r="C3" i="3"/>
  <c r="C2" i="3"/>
</calcChain>
</file>

<file path=xl/sharedStrings.xml><?xml version="1.0" encoding="utf-8"?>
<sst xmlns="http://schemas.openxmlformats.org/spreadsheetml/2006/main" count="138" uniqueCount="121">
  <si>
    <t>Travel time to employment centre by public transport and walking</t>
  </si>
  <si>
    <t>Average travel time in minutes to nearest employment centre with 500+ jobs available</t>
  </si>
  <si>
    <t>Source: Department for Transport</t>
  </si>
  <si>
    <t>Data download generated by ONS Explore Local Statistics on 30 Oct 2025</t>
  </si>
  <si>
    <t>https://ons.gov.uk/explore-local-statistics/indicators/average-travel-time-public-transport-or-walking</t>
  </si>
  <si>
    <t>Area code</t>
  </si>
  <si>
    <t>Area name</t>
  </si>
  <si>
    <t>E09000001</t>
  </si>
  <si>
    <t>City of London</t>
  </si>
  <si>
    <t>E09000002</t>
  </si>
  <si>
    <t>Barking and Dagenham</t>
  </si>
  <si>
    <t>E09000003</t>
  </si>
  <si>
    <t>Barnet</t>
  </si>
  <si>
    <t>E09000004</t>
  </si>
  <si>
    <t>Bexley</t>
  </si>
  <si>
    <t>E09000005</t>
  </si>
  <si>
    <t>Brent</t>
  </si>
  <si>
    <t>E09000006</t>
  </si>
  <si>
    <t>Bromley</t>
  </si>
  <si>
    <t>E09000007</t>
  </si>
  <si>
    <t>Camden</t>
  </si>
  <si>
    <t>E09000008</t>
  </si>
  <si>
    <t>Croydon</t>
  </si>
  <si>
    <t>E09000009</t>
  </si>
  <si>
    <t>Ealing</t>
  </si>
  <si>
    <t>E09000010</t>
  </si>
  <si>
    <t>Enfield</t>
  </si>
  <si>
    <t>E09000011</t>
  </si>
  <si>
    <t>Greenwich</t>
  </si>
  <si>
    <t>E09000012</t>
  </si>
  <si>
    <t>Hackney</t>
  </si>
  <si>
    <t>E09000013</t>
  </si>
  <si>
    <t>Hammersmith and Fulham</t>
  </si>
  <si>
    <t>E09000014</t>
  </si>
  <si>
    <t>Haringey</t>
  </si>
  <si>
    <t>E09000015</t>
  </si>
  <si>
    <t>Harrow</t>
  </si>
  <si>
    <t>E09000016</t>
  </si>
  <si>
    <t>Havering</t>
  </si>
  <si>
    <t>E09000017</t>
  </si>
  <si>
    <t>Hillingdon</t>
  </si>
  <si>
    <t>E09000018</t>
  </si>
  <si>
    <t>Hounslow</t>
  </si>
  <si>
    <t>E09000019</t>
  </si>
  <si>
    <t>Islington</t>
  </si>
  <si>
    <t>E09000020</t>
  </si>
  <si>
    <t>Kensington and Chelsea</t>
  </si>
  <si>
    <t>E09000021</t>
  </si>
  <si>
    <t>Kingston upon Thames</t>
  </si>
  <si>
    <t>E09000022</t>
  </si>
  <si>
    <t>Lambeth</t>
  </si>
  <si>
    <t>E09000023</t>
  </si>
  <si>
    <t>Lewisham</t>
  </si>
  <si>
    <t>E09000024</t>
  </si>
  <si>
    <t>Merton</t>
  </si>
  <si>
    <t>E09000025</t>
  </si>
  <si>
    <t>Newham</t>
  </si>
  <si>
    <t>E09000026</t>
  </si>
  <si>
    <t>Redbridge</t>
  </si>
  <si>
    <t>E09000027</t>
  </si>
  <si>
    <t>Richmond upon Thames</t>
  </si>
  <si>
    <t>E09000028</t>
  </si>
  <si>
    <t>Southwark</t>
  </si>
  <si>
    <t>E09000029</t>
  </si>
  <si>
    <t>Sutton</t>
  </si>
  <si>
    <t>E09000030</t>
  </si>
  <si>
    <t>Tower Hamlets</t>
  </si>
  <si>
    <t>E09000031</t>
  </si>
  <si>
    <t>Waltham Forest</t>
  </si>
  <si>
    <t>E09000032</t>
  </si>
  <si>
    <t>Wandsworth</t>
  </si>
  <si>
    <t>E09000033</t>
  </si>
  <si>
    <t>Westminster</t>
  </si>
  <si>
    <t>QSI Performance Route Performance Results for London Borough Q1 2025 - tfl</t>
  </si>
  <si>
    <t>average_waiting_time_in_minutes</t>
  </si>
  <si>
    <t>percent_green_plus_blue_area</t>
  </si>
  <si>
    <t>2018 london borough green and blue cover summary data - GLA</t>
  </si>
  <si>
    <t>Greenhouse gas emissions</t>
  </si>
  <si>
    <t>Greenhouse gas emissions (tCO2e) per capita</t>
  </si>
  <si>
    <t>Source: Department for Energy Security and Net Zero</t>
  </si>
  <si>
    <t>Greenhouse_gas_emissions_per_capita</t>
  </si>
  <si>
    <t>density_per_kilometer</t>
  </si>
  <si>
    <t>Data download generated by ONS Explore Local Statistics on 6 Nov 2025</t>
  </si>
  <si>
    <t>https://ons.gov.uk/explore-local-statistics/indicators/gross-disposable-household-income-per-head</t>
  </si>
  <si>
    <t>gross_disposable_household_income</t>
  </si>
  <si>
    <t>Gross median weekly pay</t>
  </si>
  <si>
    <t>Average weekly pay based on where people live</t>
  </si>
  <si>
    <t>Source: Office for National Statistics and Northern Ireland Statistics and Research Agency</t>
  </si>
  <si>
    <t>https://ons.gov.uk/explore-local-statistics/indicators/gross-median-weekly-pay</t>
  </si>
  <si>
    <r>
      <t>g</t>
    </r>
    <r>
      <rPr>
        <sz val="11"/>
        <color theme="1"/>
        <rFont val="Aptos Narrow"/>
        <scheme val="minor"/>
      </rPr>
      <t>ross_median_weekly_pay</t>
    </r>
  </si>
  <si>
    <t>happiness_index</t>
  </si>
  <si>
    <t>Gigabit capable broadband</t>
  </si>
  <si>
    <t>Percentage of premises that have coverage from a gigabit-capable service (download speeds of 1,000 Mbps or more)</t>
  </si>
  <si>
    <t>Source: Ofcom</t>
  </si>
  <si>
    <t>https://ons.gov.uk/explore-local-statistics/indicators/gigabit-capable-broadband</t>
  </si>
  <si>
    <t>Happiness</t>
  </si>
  <si>
    <t>Average rating of happiness (0 = 'not at all happy', 10 = 'completely happy') for people aged 16 and over</t>
  </si>
  <si>
    <t>Source: Office for National Statistics</t>
  </si>
  <si>
    <t>https://ons.gov.uk/explore-local-statistics/indicators/wellbeing-happiness</t>
  </si>
  <si>
    <t>average_time_to_employment_centre_in_minutes</t>
  </si>
  <si>
    <t>percent_coverage_broadband</t>
  </si>
  <si>
    <t>supermarket_per_1000</t>
  </si>
  <si>
    <t>Supermarkets</t>
  </si>
  <si>
    <t>Supermarkets per 10,000 people</t>
  </si>
  <si>
    <t>https://ons.gov.uk/explore-local-statistics/indicators/supermarkets</t>
  </si>
  <si>
    <t>percent_school_outstanding</t>
  </si>
  <si>
    <t>Five-Year Ofsted Inspection Data (State-funded schools)</t>
  </si>
  <si>
    <t>number_of_restaurant_cafe,pub</t>
  </si>
  <si>
    <t>Category</t>
  </si>
  <si>
    <t>Attributes</t>
  </si>
  <si>
    <t>Accessibility &amp; Services</t>
  </si>
  <si>
    <t>avg_time_to_employment_centre, avg_waiting_time, broadband coverage</t>
  </si>
  <si>
    <t>Environment &amp; Sustainability</t>
  </si>
  <si>
    <t>green+blue area %, GHG emissions per capita, density per km²</t>
  </si>
  <si>
    <t>Economic &amp; Wellbeing</t>
  </si>
  <si>
    <t>disposable household income, median weekly pay, happiness index</t>
  </si>
  <si>
    <t>Lifestyle &amp; Amenities</t>
  </si>
  <si>
    <t>supermarket per 1000, % schools outstanding, number of restaurants/cafes/pubs</t>
  </si>
  <si>
    <t>1st Quartile</t>
  </si>
  <si>
    <t>2nd Quartile</t>
  </si>
  <si>
    <t>3rd Quartile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</si>
</sst>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(* #,##0_);_(* \(#,##0\);_(* &quot;-&quot;_);_(@_)"/>
    <numFmt numFmtId="164" formatCode="0.00000"/>
    <numFmt numFmtId="165" formatCode="0.0"/>
  </numFmts>
  <fonts count="6" x14ac:knownFonts="1">
    <font>
      <sz val="12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3"/>
      <color rgb="FF353D42"/>
      <name val="Arial"/>
      <family val="2"/>
    </font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1"/>
      <color theme="1"/>
      <name val="Aptos Narrow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1" fontId="3" fillId="0" borderId="0" applyFont="0" applyFill="0" applyBorder="0" applyAlignment="0" applyProtection="0"/>
  </cellStyleXfs>
  <cellXfs count="16">
    <xf numFmtId="0" fontId="0" fillId="0" borderId="0" xfId="0"/>
    <xf numFmtId="2" fontId="0" fillId="0" borderId="0" xfId="0" applyNumberFormat="1"/>
    <xf numFmtId="0" fontId="2" fillId="0" borderId="0" xfId="0" applyFont="1"/>
    <xf numFmtId="165" fontId="0" fillId="0" borderId="0" xfId="0" applyNumberFormat="1"/>
    <xf numFmtId="1" fontId="0" fillId="0" borderId="0" xfId="0" applyNumberFormat="1"/>
    <xf numFmtId="3" fontId="0" fillId="0" borderId="0" xfId="0" applyNumberFormat="1"/>
    <xf numFmtId="0" fontId="4" fillId="0" borderId="0" xfId="0" applyFont="1"/>
    <xf numFmtId="0" fontId="0" fillId="2" borderId="0" xfId="0" applyFill="1"/>
    <xf numFmtId="0" fontId="5" fillId="2" borderId="0" xfId="0" applyFont="1" applyFill="1"/>
    <xf numFmtId="165" fontId="5" fillId="3" borderId="0" xfId="0" applyNumberFormat="1" applyFont="1" applyFill="1"/>
    <xf numFmtId="0" fontId="0" fillId="3" borderId="0" xfId="0" applyFill="1"/>
    <xf numFmtId="0" fontId="0" fillId="4" borderId="0" xfId="0" applyFill="1"/>
    <xf numFmtId="0" fontId="1" fillId="4" borderId="0" xfId="0" applyFont="1" applyFill="1"/>
    <xf numFmtId="0" fontId="1" fillId="5" borderId="0" xfId="0" applyFont="1" applyFill="1"/>
    <xf numFmtId="164" fontId="1" fillId="5" borderId="0" xfId="0" applyNumberFormat="1" applyFont="1" applyFill="1"/>
    <xf numFmtId="41" fontId="0" fillId="0" borderId="0" xfId="1" applyFont="1"/>
  </cellXfs>
  <cellStyles count="2">
    <cellStyle name="Comma [0]" xfId="1" builtinId="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7BAF43-54DB-7C43-95F6-39CC4E7B662A}">
  <dimension ref="A1:Q36"/>
  <sheetViews>
    <sheetView tabSelected="1" workbookViewId="0">
      <selection activeCell="F28" sqref="F28"/>
    </sheetView>
  </sheetViews>
  <sheetFormatPr baseColWidth="10" defaultRowHeight="16" x14ac:dyDescent="0.2"/>
  <cols>
    <col min="1" max="1" width="10.1640625" bestFit="1" customWidth="1"/>
    <col min="2" max="2" width="22.6640625" bestFit="1" customWidth="1"/>
    <col min="3" max="3" width="42.1640625" bestFit="1" customWidth="1"/>
    <col min="4" max="4" width="28.83203125" bestFit="1" customWidth="1"/>
    <col min="5" max="5" width="24.33203125" bestFit="1" customWidth="1"/>
    <col min="6" max="6" width="24" bestFit="1" customWidth="1"/>
    <col min="7" max="7" width="33.5" bestFit="1" customWidth="1"/>
    <col min="8" max="8" width="19.1640625" bestFit="1" customWidth="1"/>
    <col min="9" max="9" width="31.33203125" bestFit="1" customWidth="1"/>
    <col min="10" max="10" width="21" bestFit="1" customWidth="1"/>
    <col min="11" max="11" width="14.1640625" bestFit="1" customWidth="1"/>
    <col min="12" max="12" width="19.33203125" bestFit="1" customWidth="1"/>
    <col min="13" max="13" width="23.5" bestFit="1" customWidth="1"/>
    <col min="14" max="14" width="26" bestFit="1" customWidth="1"/>
  </cols>
  <sheetData>
    <row r="1" spans="1:17" x14ac:dyDescent="0.2">
      <c r="A1" t="s">
        <v>5</v>
      </c>
      <c r="B1" t="s">
        <v>6</v>
      </c>
      <c r="C1" s="7" t="s">
        <v>99</v>
      </c>
      <c r="D1" s="7" t="s">
        <v>74</v>
      </c>
      <c r="E1" s="8" t="s">
        <v>100</v>
      </c>
      <c r="F1" s="9" t="s">
        <v>75</v>
      </c>
      <c r="G1" s="10" t="s">
        <v>80</v>
      </c>
      <c r="H1" s="10" t="s">
        <v>81</v>
      </c>
      <c r="I1" s="11" t="s">
        <v>84</v>
      </c>
      <c r="J1" s="12" t="s">
        <v>89</v>
      </c>
      <c r="K1" s="12" t="s">
        <v>90</v>
      </c>
      <c r="L1" s="13" t="s">
        <v>101</v>
      </c>
      <c r="M1" s="13" t="s">
        <v>105</v>
      </c>
      <c r="N1" s="14" t="s">
        <v>107</v>
      </c>
    </row>
    <row r="2" spans="1:17" x14ac:dyDescent="0.2">
      <c r="A2" t="s">
        <v>7</v>
      </c>
      <c r="B2" t="s">
        <v>8</v>
      </c>
      <c r="C2" s="3">
        <v>7.8518310172511798</v>
      </c>
      <c r="D2">
        <v>6.3</v>
      </c>
      <c r="E2" s="4">
        <v>80.8</v>
      </c>
      <c r="F2" s="4">
        <v>13.311089059337997</v>
      </c>
      <c r="G2" s="3">
        <v>52.16</v>
      </c>
      <c r="H2" s="15">
        <v>5229</v>
      </c>
      <c r="I2" s="15">
        <v>129429</v>
      </c>
      <c r="J2" s="4">
        <v>762.4</v>
      </c>
      <c r="K2" s="1">
        <v>7.3240624999999984</v>
      </c>
      <c r="L2" s="3">
        <v>37.28</v>
      </c>
      <c r="M2" s="4">
        <v>100</v>
      </c>
      <c r="N2" s="5">
        <v>800</v>
      </c>
      <c r="O2" s="1"/>
      <c r="P2" s="1"/>
      <c r="Q2" s="4"/>
    </row>
    <row r="3" spans="1:17" x14ac:dyDescent="0.2">
      <c r="A3" t="s">
        <v>9</v>
      </c>
      <c r="B3" t="s">
        <v>10</v>
      </c>
      <c r="C3" s="3">
        <v>8.3810602966382408</v>
      </c>
      <c r="D3">
        <v>6.4</v>
      </c>
      <c r="E3" s="4">
        <v>95.4</v>
      </c>
      <c r="F3" s="4">
        <v>45.29927062818809</v>
      </c>
      <c r="G3" s="3">
        <v>2.98</v>
      </c>
      <c r="H3" s="15">
        <v>6447</v>
      </c>
      <c r="I3" s="15">
        <v>21179</v>
      </c>
      <c r="J3" s="4">
        <v>612.9</v>
      </c>
      <c r="K3">
        <v>7.48</v>
      </c>
      <c r="L3" s="3">
        <v>1.6</v>
      </c>
      <c r="M3" s="4">
        <v>12.921348314606742</v>
      </c>
      <c r="N3" s="5">
        <v>255</v>
      </c>
      <c r="O3" s="1"/>
      <c r="P3" s="1"/>
      <c r="Q3" s="4"/>
    </row>
    <row r="4" spans="1:17" x14ac:dyDescent="0.2">
      <c r="A4" t="s">
        <v>11</v>
      </c>
      <c r="B4" t="s">
        <v>12</v>
      </c>
      <c r="C4" s="3">
        <v>7.5215749664939899</v>
      </c>
      <c r="D4">
        <v>6.6</v>
      </c>
      <c r="E4" s="4">
        <v>71.8</v>
      </c>
      <c r="F4" s="4">
        <v>58.686071418455136</v>
      </c>
      <c r="G4" s="3">
        <v>2.85</v>
      </c>
      <c r="H4" s="15">
        <v>4668</v>
      </c>
      <c r="I4" s="15">
        <v>36880</v>
      </c>
      <c r="J4" s="4">
        <v>714.6</v>
      </c>
      <c r="K4">
        <v>6.95</v>
      </c>
      <c r="L4" s="3">
        <v>1.9</v>
      </c>
      <c r="M4" s="4">
        <v>29.434954007884361</v>
      </c>
      <c r="N4" s="5">
        <v>745</v>
      </c>
      <c r="O4" s="1"/>
      <c r="P4" s="1"/>
      <c r="Q4" s="4"/>
    </row>
    <row r="5" spans="1:17" x14ac:dyDescent="0.2">
      <c r="A5" t="s">
        <v>13</v>
      </c>
      <c r="B5" t="s">
        <v>14</v>
      </c>
      <c r="C5" s="3">
        <v>10.313561248312199</v>
      </c>
      <c r="D5">
        <v>6.9</v>
      </c>
      <c r="E5" s="4">
        <v>92.7</v>
      </c>
      <c r="F5" s="4">
        <v>49.724120250548374</v>
      </c>
      <c r="G5" s="3">
        <v>2.87</v>
      </c>
      <c r="H5" s="15">
        <v>4234</v>
      </c>
      <c r="I5" s="15">
        <v>25722</v>
      </c>
      <c r="J5" s="4">
        <v>694.4</v>
      </c>
      <c r="K5">
        <v>7.39</v>
      </c>
      <c r="L5" s="3">
        <v>1.95</v>
      </c>
      <c r="M5" s="4">
        <v>14.730290456431536</v>
      </c>
      <c r="N5" s="5">
        <v>415</v>
      </c>
      <c r="O5" s="1"/>
      <c r="P5" s="1"/>
      <c r="Q5" s="4"/>
    </row>
    <row r="6" spans="1:17" x14ac:dyDescent="0.2">
      <c r="A6" t="s">
        <v>15</v>
      </c>
      <c r="B6" t="s">
        <v>16</v>
      </c>
      <c r="C6" s="3">
        <v>7.5244878563464201</v>
      </c>
      <c r="D6">
        <v>6.6</v>
      </c>
      <c r="E6" s="4">
        <v>85</v>
      </c>
      <c r="F6" s="4">
        <v>40.967720365675028</v>
      </c>
      <c r="G6" s="3">
        <v>2.78</v>
      </c>
      <c r="H6" s="15">
        <v>8164</v>
      </c>
      <c r="I6" s="15">
        <v>29569</v>
      </c>
      <c r="J6" s="4">
        <v>646.20000000000005</v>
      </c>
      <c r="K6">
        <v>7.27</v>
      </c>
      <c r="L6" s="3">
        <v>1.65</v>
      </c>
      <c r="M6" s="4">
        <v>24.031007751937985</v>
      </c>
      <c r="N6" s="5">
        <v>585</v>
      </c>
      <c r="O6" s="1"/>
      <c r="P6" s="1"/>
      <c r="Q6" s="4"/>
    </row>
    <row r="7" spans="1:17" x14ac:dyDescent="0.2">
      <c r="A7" t="s">
        <v>17</v>
      </c>
      <c r="B7" t="s">
        <v>18</v>
      </c>
      <c r="C7" s="3">
        <v>9.7814380748447896</v>
      </c>
      <c r="D7">
        <v>7.3</v>
      </c>
      <c r="E7" s="4">
        <v>91.7</v>
      </c>
      <c r="F7" s="4">
        <v>68.735537164843848</v>
      </c>
      <c r="G7" s="3">
        <v>2.72</v>
      </c>
      <c r="H7" s="15">
        <v>2234</v>
      </c>
      <c r="I7" s="15">
        <v>34399</v>
      </c>
      <c r="J7" s="4">
        <v>818.9</v>
      </c>
      <c r="K7">
        <v>7.35</v>
      </c>
      <c r="L7" s="3">
        <v>2.4500000000000002</v>
      </c>
      <c r="M7" s="4">
        <v>29.313232830820766</v>
      </c>
      <c r="N7" s="5">
        <v>620</v>
      </c>
      <c r="O7" s="1"/>
      <c r="P7" s="1"/>
      <c r="Q7" s="4"/>
    </row>
    <row r="8" spans="1:17" x14ac:dyDescent="0.2">
      <c r="A8" t="s">
        <v>19</v>
      </c>
      <c r="B8" t="s">
        <v>20</v>
      </c>
      <c r="C8" s="3">
        <v>5.7300533859623801</v>
      </c>
      <c r="D8">
        <v>6</v>
      </c>
      <c r="E8" s="4">
        <v>95.9</v>
      </c>
      <c r="F8" s="4">
        <v>44.18826200917205</v>
      </c>
      <c r="G8" s="3">
        <v>4.38</v>
      </c>
      <c r="H8" s="15">
        <v>9961</v>
      </c>
      <c r="I8" s="15">
        <v>61657</v>
      </c>
      <c r="J8" s="4">
        <v>766.6</v>
      </c>
      <c r="K8">
        <v>7.28</v>
      </c>
      <c r="L8" s="3">
        <v>3.81</v>
      </c>
      <c r="M8" s="4">
        <v>32.861189801699723</v>
      </c>
      <c r="N8" s="5">
        <v>1430</v>
      </c>
      <c r="O8" s="1"/>
      <c r="P8" s="1"/>
      <c r="Q8" s="4"/>
    </row>
    <row r="9" spans="1:17" x14ac:dyDescent="0.2">
      <c r="A9" t="s">
        <v>21</v>
      </c>
      <c r="B9" t="s">
        <v>22</v>
      </c>
      <c r="C9" s="3">
        <v>9.9242406594062604</v>
      </c>
      <c r="D9">
        <v>7</v>
      </c>
      <c r="E9" s="4">
        <v>87.5</v>
      </c>
      <c r="F9" s="4">
        <v>55.661463358010735</v>
      </c>
      <c r="G9" s="3">
        <v>2.54</v>
      </c>
      <c r="H9" s="15">
        <v>4734</v>
      </c>
      <c r="I9" s="15">
        <v>27096</v>
      </c>
      <c r="J9" s="4">
        <v>721.3</v>
      </c>
      <c r="K9">
        <v>7.11</v>
      </c>
      <c r="L9" s="3">
        <v>2.1800000000000002</v>
      </c>
      <c r="M9" s="4">
        <v>22.146739130434785</v>
      </c>
      <c r="N9" s="5">
        <v>715</v>
      </c>
      <c r="O9" s="1"/>
      <c r="P9" s="1"/>
      <c r="Q9" s="4"/>
    </row>
    <row r="10" spans="1:17" x14ac:dyDescent="0.2">
      <c r="A10" t="s">
        <v>23</v>
      </c>
      <c r="B10" t="s">
        <v>24</v>
      </c>
      <c r="C10" s="3">
        <v>8.3074456050152907</v>
      </c>
      <c r="D10">
        <v>6.8</v>
      </c>
      <c r="E10" s="4">
        <v>90</v>
      </c>
      <c r="F10" s="4">
        <v>44.898701894383755</v>
      </c>
      <c r="G10" s="3">
        <v>3</v>
      </c>
      <c r="H10" s="15">
        <v>6949</v>
      </c>
      <c r="I10" s="15">
        <v>30437</v>
      </c>
      <c r="J10" s="4">
        <v>684.8</v>
      </c>
      <c r="K10">
        <v>7.25</v>
      </c>
      <c r="L10" s="3">
        <v>1.77</v>
      </c>
      <c r="M10" s="4">
        <v>28.621908127208478</v>
      </c>
      <c r="N10" s="5">
        <v>640</v>
      </c>
      <c r="O10" s="1"/>
      <c r="P10" s="1"/>
      <c r="Q10" s="4"/>
    </row>
    <row r="11" spans="1:17" x14ac:dyDescent="0.2">
      <c r="A11" t="s">
        <v>25</v>
      </c>
      <c r="B11" t="s">
        <v>26</v>
      </c>
      <c r="C11" s="3">
        <v>8.2871576022307494</v>
      </c>
      <c r="D11">
        <v>6.8</v>
      </c>
      <c r="E11" s="4">
        <v>89.9</v>
      </c>
      <c r="F11" s="4">
        <v>58.11105394249396</v>
      </c>
      <c r="G11" s="3">
        <v>3.54</v>
      </c>
      <c r="H11" s="15">
        <v>4052</v>
      </c>
      <c r="I11" s="15">
        <v>27981</v>
      </c>
      <c r="J11" s="4">
        <v>646.20000000000005</v>
      </c>
      <c r="K11">
        <v>7.41</v>
      </c>
      <c r="L11" s="3">
        <v>1.52</v>
      </c>
      <c r="M11" s="4">
        <v>15.909090909090908</v>
      </c>
      <c r="N11" s="5">
        <v>530</v>
      </c>
      <c r="O11" s="1"/>
      <c r="P11" s="1"/>
      <c r="Q11" s="4"/>
    </row>
    <row r="12" spans="1:17" x14ac:dyDescent="0.2">
      <c r="A12" t="s">
        <v>27</v>
      </c>
      <c r="B12" t="s">
        <v>28</v>
      </c>
      <c r="C12" s="3">
        <v>8.3523917820046591</v>
      </c>
      <c r="D12">
        <v>6.8</v>
      </c>
      <c r="E12" s="4">
        <v>88.8</v>
      </c>
      <c r="F12" s="4">
        <v>49.998691991206655</v>
      </c>
      <c r="G12" s="3">
        <v>2.85</v>
      </c>
      <c r="H12" s="15">
        <v>6331</v>
      </c>
      <c r="I12" s="15">
        <v>28453</v>
      </c>
      <c r="J12" s="4">
        <v>749.6</v>
      </c>
      <c r="K12">
        <v>7.42</v>
      </c>
      <c r="L12" s="3">
        <v>2.2799999999999998</v>
      </c>
      <c r="M12" s="4">
        <v>23.326959847036331</v>
      </c>
      <c r="N12" s="5">
        <v>475</v>
      </c>
      <c r="O12" s="1"/>
      <c r="P12" s="1"/>
      <c r="Q12" s="4"/>
    </row>
    <row r="13" spans="1:17" x14ac:dyDescent="0.2">
      <c r="A13" t="s">
        <v>29</v>
      </c>
      <c r="B13" t="s">
        <v>30</v>
      </c>
      <c r="C13" s="3">
        <v>4.8018461529603496</v>
      </c>
      <c r="D13">
        <v>6.8</v>
      </c>
      <c r="E13" s="4">
        <v>91.3</v>
      </c>
      <c r="F13" s="4">
        <v>41.027303183589098</v>
      </c>
      <c r="G13" s="3">
        <v>2.12</v>
      </c>
      <c r="H13" s="15">
        <v>14007</v>
      </c>
      <c r="I13" s="15">
        <v>34013</v>
      </c>
      <c r="J13" s="4">
        <v>762.5</v>
      </c>
      <c r="K13">
        <v>7.05</v>
      </c>
      <c r="L13" s="3">
        <v>1.81</v>
      </c>
      <c r="M13" s="4">
        <v>36.25</v>
      </c>
      <c r="N13" s="5">
        <v>850</v>
      </c>
      <c r="O13" s="1"/>
      <c r="P13" s="1"/>
      <c r="Q13" s="4"/>
    </row>
    <row r="14" spans="1:17" x14ac:dyDescent="0.2">
      <c r="A14" t="s">
        <v>31</v>
      </c>
      <c r="B14" t="s">
        <v>32</v>
      </c>
      <c r="C14" s="3">
        <v>5.1102733732983898</v>
      </c>
      <c r="D14">
        <v>6.8</v>
      </c>
      <c r="E14" s="4">
        <v>88.2</v>
      </c>
      <c r="F14" s="4">
        <v>32.22362342774619</v>
      </c>
      <c r="G14" s="3">
        <v>3.17</v>
      </c>
      <c r="H14" s="15">
        <v>11504</v>
      </c>
      <c r="I14" s="15">
        <v>51554</v>
      </c>
      <c r="J14" s="4">
        <v>798.5</v>
      </c>
      <c r="K14">
        <v>7.66</v>
      </c>
      <c r="L14" s="3">
        <v>3.39</v>
      </c>
      <c r="M14" s="4">
        <v>41.340782122905026</v>
      </c>
      <c r="N14" s="5">
        <v>655</v>
      </c>
      <c r="O14" s="1"/>
      <c r="P14" s="1"/>
      <c r="Q14" s="4"/>
    </row>
    <row r="15" spans="1:17" x14ac:dyDescent="0.2">
      <c r="A15" t="s">
        <v>33</v>
      </c>
      <c r="B15" t="s">
        <v>34</v>
      </c>
      <c r="C15" s="3">
        <v>7.4610965846333404</v>
      </c>
      <c r="D15">
        <v>6.8</v>
      </c>
      <c r="E15" s="4">
        <v>89.2</v>
      </c>
      <c r="F15" s="4">
        <v>44.336678946890238</v>
      </c>
      <c r="G15" s="3">
        <v>2.2999999999999998</v>
      </c>
      <c r="H15" s="15">
        <v>8912</v>
      </c>
      <c r="I15" s="15">
        <v>37746</v>
      </c>
      <c r="J15" s="4">
        <v>727.8</v>
      </c>
      <c r="K15">
        <v>7.17</v>
      </c>
      <c r="L15" s="3">
        <v>1.85</v>
      </c>
      <c r="M15" s="4">
        <v>29.273084479371313</v>
      </c>
      <c r="N15" s="5">
        <v>565</v>
      </c>
      <c r="O15" s="1"/>
      <c r="P15" s="1"/>
      <c r="Q15" s="4"/>
    </row>
    <row r="16" spans="1:17" x14ac:dyDescent="0.2">
      <c r="A16" t="s">
        <v>35</v>
      </c>
      <c r="B16" t="s">
        <v>36</v>
      </c>
      <c r="C16" s="3">
        <v>8.6682004567686999</v>
      </c>
      <c r="D16">
        <v>6.8</v>
      </c>
      <c r="E16" s="4">
        <v>89.3</v>
      </c>
      <c r="F16" s="4">
        <v>55.891998704758649</v>
      </c>
      <c r="G16" s="3">
        <v>2.0699999999999998</v>
      </c>
      <c r="H16" s="15">
        <v>5365</v>
      </c>
      <c r="I16" s="15">
        <v>31249</v>
      </c>
      <c r="J16" s="4">
        <v>669.2</v>
      </c>
      <c r="K16">
        <v>7.6</v>
      </c>
      <c r="L16" s="3">
        <v>1.57</v>
      </c>
      <c r="M16" s="4">
        <v>37.222222222222221</v>
      </c>
      <c r="N16" s="5">
        <v>430</v>
      </c>
      <c r="O16" s="1"/>
      <c r="P16" s="1"/>
      <c r="Q16" s="4"/>
    </row>
    <row r="17" spans="1:17" x14ac:dyDescent="0.2">
      <c r="A17" t="s">
        <v>37</v>
      </c>
      <c r="B17" t="s">
        <v>38</v>
      </c>
      <c r="C17" s="3">
        <v>9.9887548762864196</v>
      </c>
      <c r="D17">
        <v>6.8</v>
      </c>
      <c r="E17" s="4">
        <v>90.9</v>
      </c>
      <c r="F17" s="4">
        <v>69.491218246547518</v>
      </c>
      <c r="G17" s="3">
        <v>3.39</v>
      </c>
      <c r="H17" s="15">
        <v>2459</v>
      </c>
      <c r="I17" s="15">
        <v>27088</v>
      </c>
      <c r="J17" s="4">
        <v>710.8</v>
      </c>
      <c r="K17">
        <v>7.54</v>
      </c>
      <c r="L17" s="3">
        <v>2.1</v>
      </c>
      <c r="M17" s="4">
        <v>15.132924335378323</v>
      </c>
      <c r="N17" s="5">
        <v>465</v>
      </c>
      <c r="O17" s="1"/>
      <c r="P17" s="1"/>
      <c r="Q17" s="4"/>
    </row>
    <row r="18" spans="1:17" x14ac:dyDescent="0.2">
      <c r="A18" t="s">
        <v>39</v>
      </c>
      <c r="B18" t="s">
        <v>40</v>
      </c>
      <c r="C18" s="3">
        <v>9.2225739846283599</v>
      </c>
      <c r="D18">
        <v>6.8</v>
      </c>
      <c r="E18" s="4">
        <v>92.2</v>
      </c>
      <c r="F18" s="4">
        <v>57.855991941160291</v>
      </c>
      <c r="G18" s="3">
        <v>4.42</v>
      </c>
      <c r="H18" s="15">
        <v>2845</v>
      </c>
      <c r="I18" s="15">
        <v>25649</v>
      </c>
      <c r="J18" s="4">
        <v>689.9</v>
      </c>
      <c r="K18">
        <v>7.69</v>
      </c>
      <c r="L18" s="3">
        <v>1.99</v>
      </c>
      <c r="M18" s="4">
        <v>15.859766277128548</v>
      </c>
      <c r="N18" s="5">
        <v>575</v>
      </c>
      <c r="O18" s="1"/>
      <c r="P18" s="1"/>
      <c r="Q18" s="4"/>
    </row>
    <row r="19" spans="1:17" x14ac:dyDescent="0.2">
      <c r="A19" t="s">
        <v>41</v>
      </c>
      <c r="B19" t="s">
        <v>42</v>
      </c>
      <c r="C19" s="3">
        <v>7.4090091493837704</v>
      </c>
      <c r="D19">
        <v>6.8</v>
      </c>
      <c r="E19" s="4">
        <v>90.2</v>
      </c>
      <c r="F19" s="4">
        <v>50.46249136814339</v>
      </c>
      <c r="G19" s="3">
        <v>3.25</v>
      </c>
      <c r="H19" s="15">
        <v>5350</v>
      </c>
      <c r="I19" s="15">
        <v>28652</v>
      </c>
      <c r="J19" s="4">
        <v>659.3</v>
      </c>
      <c r="K19">
        <v>7.49</v>
      </c>
      <c r="L19" s="3">
        <v>1.98</v>
      </c>
      <c r="M19" s="4">
        <v>25.560538116591928</v>
      </c>
      <c r="N19" s="5">
        <v>500</v>
      </c>
      <c r="O19" s="1"/>
      <c r="P19" s="1"/>
      <c r="Q19" s="4"/>
    </row>
    <row r="20" spans="1:17" x14ac:dyDescent="0.2">
      <c r="A20" t="s">
        <v>43</v>
      </c>
      <c r="B20" t="s">
        <v>44</v>
      </c>
      <c r="C20" s="3">
        <v>4.8042691592421098</v>
      </c>
      <c r="D20">
        <v>6.8</v>
      </c>
      <c r="E20" s="4">
        <v>95.1</v>
      </c>
      <c r="F20" s="4">
        <v>35.141760208378464</v>
      </c>
      <c r="G20" s="3">
        <v>2.71</v>
      </c>
      <c r="H20" s="15">
        <v>15010</v>
      </c>
      <c r="I20" s="15">
        <v>41955</v>
      </c>
      <c r="J20" s="4">
        <v>811.2</v>
      </c>
      <c r="K20">
        <v>7.2</v>
      </c>
      <c r="L20" s="3">
        <v>3.32</v>
      </c>
      <c r="M20" s="4">
        <v>30.099502487562191</v>
      </c>
      <c r="N20" s="5">
        <v>965</v>
      </c>
      <c r="O20" s="1"/>
      <c r="P20" s="1"/>
      <c r="Q20" s="4"/>
    </row>
    <row r="21" spans="1:17" x14ac:dyDescent="0.2">
      <c r="A21" t="s">
        <v>45</v>
      </c>
      <c r="B21" t="s">
        <v>46</v>
      </c>
      <c r="C21" s="3">
        <v>3.22467965616833</v>
      </c>
      <c r="D21">
        <v>6.8</v>
      </c>
      <c r="E21" s="4">
        <v>93.4</v>
      </c>
      <c r="F21" s="4">
        <v>32.674778687336023</v>
      </c>
      <c r="G21" s="3">
        <v>4.7300000000000004</v>
      </c>
      <c r="H21" s="15">
        <v>11918</v>
      </c>
      <c r="I21" s="15">
        <v>110651</v>
      </c>
      <c r="J21" s="4">
        <v>810.1</v>
      </c>
      <c r="K21">
        <v>7.23</v>
      </c>
      <c r="L21" s="3">
        <v>2.65</v>
      </c>
      <c r="M21" s="4">
        <v>53.333333333333336</v>
      </c>
      <c r="N21" s="5">
        <v>745</v>
      </c>
      <c r="O21" s="1"/>
      <c r="P21" s="1"/>
      <c r="Q21" s="4"/>
    </row>
    <row r="22" spans="1:17" x14ac:dyDescent="0.2">
      <c r="A22" t="s">
        <v>47</v>
      </c>
      <c r="B22" t="s">
        <v>48</v>
      </c>
      <c r="C22" s="3">
        <v>8.5091017093624597</v>
      </c>
      <c r="D22">
        <v>6.8</v>
      </c>
      <c r="E22" s="4">
        <v>91</v>
      </c>
      <c r="F22" s="4">
        <v>53.479121928236687</v>
      </c>
      <c r="G22" s="3">
        <v>3.07</v>
      </c>
      <c r="H22" s="15">
        <v>4635</v>
      </c>
      <c r="I22" s="15">
        <v>34234</v>
      </c>
      <c r="J22" s="4">
        <v>727.4</v>
      </c>
      <c r="K22">
        <v>7.25</v>
      </c>
      <c r="L22" s="3">
        <v>2.44</v>
      </c>
      <c r="M22" s="4">
        <v>28.013029315960914</v>
      </c>
      <c r="N22" s="5">
        <v>390</v>
      </c>
      <c r="O22" s="1"/>
      <c r="P22" s="1"/>
      <c r="Q22" s="4"/>
    </row>
    <row r="23" spans="1:17" x14ac:dyDescent="0.2">
      <c r="A23" t="s">
        <v>49</v>
      </c>
      <c r="B23" t="s">
        <v>50</v>
      </c>
      <c r="C23" s="3">
        <v>6.1198355834596798</v>
      </c>
      <c r="D23">
        <v>6.8</v>
      </c>
      <c r="E23" s="4">
        <v>91.3</v>
      </c>
      <c r="F23" s="4">
        <v>34.536085964435429</v>
      </c>
      <c r="G23" s="3">
        <v>2.57</v>
      </c>
      <c r="H23" s="15">
        <v>11822</v>
      </c>
      <c r="I23" s="15">
        <v>35607</v>
      </c>
      <c r="J23" s="4">
        <v>797.4</v>
      </c>
      <c r="K23">
        <v>7.5</v>
      </c>
      <c r="L23" s="3">
        <v>2.8</v>
      </c>
      <c r="M23" s="4">
        <v>35.700934579439256</v>
      </c>
      <c r="N23" s="5">
        <v>830</v>
      </c>
      <c r="O23" s="1"/>
      <c r="P23" s="1"/>
      <c r="Q23" s="4"/>
    </row>
    <row r="24" spans="1:17" x14ac:dyDescent="0.2">
      <c r="A24" t="s">
        <v>51</v>
      </c>
      <c r="B24" t="s">
        <v>52</v>
      </c>
      <c r="C24" s="3">
        <v>8.7606127243731908</v>
      </c>
      <c r="D24">
        <v>6.8</v>
      </c>
      <c r="E24" s="4">
        <v>88.9</v>
      </c>
      <c r="F24" s="4">
        <v>41.05373746184992</v>
      </c>
      <c r="G24" s="3">
        <v>2.15</v>
      </c>
      <c r="H24" s="15">
        <v>8572</v>
      </c>
      <c r="I24" s="15">
        <v>29500</v>
      </c>
      <c r="J24" s="4">
        <v>706.4</v>
      </c>
      <c r="K24">
        <v>7.27</v>
      </c>
      <c r="L24" s="3">
        <v>1.93</v>
      </c>
      <c r="M24" s="4">
        <v>21.764705882352942</v>
      </c>
      <c r="N24" s="5">
        <v>525</v>
      </c>
      <c r="O24" s="1"/>
      <c r="P24" s="1"/>
      <c r="Q24" s="4"/>
    </row>
    <row r="25" spans="1:17" x14ac:dyDescent="0.2">
      <c r="A25" t="s">
        <v>53</v>
      </c>
      <c r="B25" t="s">
        <v>54</v>
      </c>
      <c r="C25" s="3">
        <v>8.0414077573727205</v>
      </c>
      <c r="D25">
        <v>6.8</v>
      </c>
      <c r="E25" s="4">
        <v>94.7</v>
      </c>
      <c r="F25" s="4">
        <v>49.629376495768419</v>
      </c>
      <c r="G25" s="3">
        <v>2.93</v>
      </c>
      <c r="H25" s="15">
        <v>5808</v>
      </c>
      <c r="I25" s="15">
        <v>37416</v>
      </c>
      <c r="J25" s="4">
        <v>721.6</v>
      </c>
      <c r="K25">
        <v>7.39</v>
      </c>
      <c r="L25" s="3">
        <v>2.3199999999999998</v>
      </c>
      <c r="M25" s="4">
        <v>26.331360946745562</v>
      </c>
      <c r="N25" s="5">
        <v>395</v>
      </c>
      <c r="O25" s="1"/>
      <c r="P25" s="1"/>
      <c r="Q25" s="4"/>
    </row>
    <row r="26" spans="1:17" x14ac:dyDescent="0.2">
      <c r="A26" t="s">
        <v>55</v>
      </c>
      <c r="B26" t="s">
        <v>56</v>
      </c>
      <c r="C26" s="3">
        <v>7.0263697852488898</v>
      </c>
      <c r="D26">
        <v>6.8</v>
      </c>
      <c r="E26" s="4">
        <v>90.6</v>
      </c>
      <c r="F26" s="4">
        <v>40.103897972790818</v>
      </c>
      <c r="G26" s="3">
        <v>2.64</v>
      </c>
      <c r="H26" s="15">
        <v>10347</v>
      </c>
      <c r="I26" s="15">
        <v>24233</v>
      </c>
      <c r="J26" s="4">
        <v>635.9</v>
      </c>
      <c r="K26">
        <v>8</v>
      </c>
      <c r="L26" s="3">
        <v>1.31</v>
      </c>
      <c r="M26" s="4">
        <v>35.738255033557046</v>
      </c>
      <c r="N26" s="5">
        <v>515</v>
      </c>
      <c r="O26" s="1"/>
      <c r="P26" s="1"/>
      <c r="Q26" s="4"/>
    </row>
    <row r="27" spans="1:17" x14ac:dyDescent="0.2">
      <c r="A27" t="s">
        <v>57</v>
      </c>
      <c r="B27" t="s">
        <v>58</v>
      </c>
      <c r="C27" s="3">
        <v>7.7008436575110899</v>
      </c>
      <c r="D27">
        <v>6.8</v>
      </c>
      <c r="E27" s="4">
        <v>93</v>
      </c>
      <c r="F27" s="4">
        <v>54.976660054599535</v>
      </c>
      <c r="G27" s="3">
        <v>2.2400000000000002</v>
      </c>
      <c r="H27" s="15">
        <v>5696</v>
      </c>
      <c r="I27" s="15">
        <v>27443</v>
      </c>
      <c r="J27" s="4">
        <v>669</v>
      </c>
      <c r="K27">
        <v>7.63</v>
      </c>
      <c r="L27" s="3">
        <v>1.39</v>
      </c>
      <c r="M27" s="4">
        <v>30.83511777301927</v>
      </c>
      <c r="N27" s="5">
        <v>485</v>
      </c>
      <c r="O27" s="1"/>
      <c r="P27" s="1"/>
      <c r="Q27" s="4"/>
    </row>
    <row r="28" spans="1:17" x14ac:dyDescent="0.2">
      <c r="A28" t="s">
        <v>59</v>
      </c>
      <c r="B28" t="s">
        <v>60</v>
      </c>
      <c r="C28" s="3">
        <v>6.8388904070823697</v>
      </c>
      <c r="D28">
        <v>6.8</v>
      </c>
      <c r="E28" s="4">
        <v>89.9</v>
      </c>
      <c r="F28" s="4">
        <v>67.231818796471615</v>
      </c>
      <c r="G28" s="3">
        <v>2.84</v>
      </c>
      <c r="H28" s="15">
        <v>3427</v>
      </c>
      <c r="I28" s="15">
        <v>49666</v>
      </c>
      <c r="J28" s="4">
        <v>824</v>
      </c>
      <c r="K28">
        <v>7.21</v>
      </c>
      <c r="L28" s="3">
        <v>2.5099999999999998</v>
      </c>
      <c r="M28" s="4">
        <v>44.662921348314605</v>
      </c>
      <c r="N28" s="5">
        <v>530</v>
      </c>
      <c r="O28" s="1"/>
      <c r="P28" s="1"/>
      <c r="Q28" s="4"/>
    </row>
    <row r="29" spans="1:17" x14ac:dyDescent="0.2">
      <c r="A29" t="s">
        <v>61</v>
      </c>
      <c r="B29" t="s">
        <v>62</v>
      </c>
      <c r="C29" s="3">
        <v>6.1220634533649898</v>
      </c>
      <c r="D29">
        <v>6.8</v>
      </c>
      <c r="E29" s="4">
        <v>90</v>
      </c>
      <c r="F29" s="4">
        <v>41.893961200303259</v>
      </c>
      <c r="G29" s="3">
        <v>2.71</v>
      </c>
      <c r="H29" s="15">
        <v>10901</v>
      </c>
      <c r="I29" s="15">
        <v>34635</v>
      </c>
      <c r="J29" s="4">
        <v>788.6</v>
      </c>
      <c r="K29">
        <v>7.12</v>
      </c>
      <c r="L29" s="3">
        <v>2.5</v>
      </c>
      <c r="M29" s="4">
        <v>30.660377358490564</v>
      </c>
      <c r="N29" s="5">
        <v>875</v>
      </c>
      <c r="O29" s="1"/>
      <c r="P29" s="1"/>
      <c r="Q29" s="4"/>
    </row>
    <row r="30" spans="1:17" x14ac:dyDescent="0.2">
      <c r="A30" t="s">
        <v>63</v>
      </c>
      <c r="B30" t="s">
        <v>64</v>
      </c>
      <c r="C30" s="3">
        <v>8.9835971152469902</v>
      </c>
      <c r="D30">
        <v>6.8</v>
      </c>
      <c r="E30" s="4">
        <v>92.2</v>
      </c>
      <c r="F30" s="4">
        <v>50.941070754341652</v>
      </c>
      <c r="G30" s="3">
        <v>2.72</v>
      </c>
      <c r="H30" s="15">
        <v>4893</v>
      </c>
      <c r="I30" s="15">
        <v>27343</v>
      </c>
      <c r="J30" s="4">
        <v>728.7</v>
      </c>
      <c r="K30">
        <v>7.41</v>
      </c>
      <c r="L30" s="3">
        <v>2.15</v>
      </c>
      <c r="M30" s="4">
        <v>29.100529100529098</v>
      </c>
      <c r="N30" s="5">
        <v>375</v>
      </c>
      <c r="O30" s="1"/>
      <c r="P30" s="1"/>
      <c r="Q30" s="4"/>
    </row>
    <row r="31" spans="1:17" x14ac:dyDescent="0.2">
      <c r="A31" t="s">
        <v>65</v>
      </c>
      <c r="B31" t="s">
        <v>66</v>
      </c>
      <c r="C31" s="3">
        <v>4.3508914288632203</v>
      </c>
      <c r="D31">
        <v>6.8</v>
      </c>
      <c r="E31" s="4">
        <v>85.8</v>
      </c>
      <c r="F31" s="4">
        <v>37.133816441126719</v>
      </c>
      <c r="G31" s="3">
        <v>3.09</v>
      </c>
      <c r="H31" s="15">
        <v>16787</v>
      </c>
      <c r="I31" s="15">
        <v>31111</v>
      </c>
      <c r="J31" s="4">
        <v>766.5</v>
      </c>
      <c r="K31">
        <v>6.87</v>
      </c>
      <c r="L31" s="3">
        <v>2.2200000000000002</v>
      </c>
      <c r="M31" s="4">
        <v>35.489510489510486</v>
      </c>
      <c r="N31" s="5">
        <v>905</v>
      </c>
      <c r="O31" s="1"/>
      <c r="P31" s="1"/>
      <c r="Q31" s="4"/>
    </row>
    <row r="32" spans="1:17" x14ac:dyDescent="0.2">
      <c r="A32" t="s">
        <v>67</v>
      </c>
      <c r="B32" t="s">
        <v>68</v>
      </c>
      <c r="C32" s="3">
        <v>7.2480194178003901</v>
      </c>
      <c r="D32">
        <v>6.8</v>
      </c>
      <c r="E32" s="4">
        <v>93.9</v>
      </c>
      <c r="F32" s="4">
        <v>50.59386321103144</v>
      </c>
      <c r="G32" s="3">
        <v>2.15</v>
      </c>
      <c r="H32" s="15">
        <v>7208</v>
      </c>
      <c r="I32" s="15">
        <v>28104</v>
      </c>
      <c r="J32" s="4">
        <v>717.7</v>
      </c>
      <c r="K32">
        <v>6.82</v>
      </c>
      <c r="L32" s="3">
        <v>1.69</v>
      </c>
      <c r="M32" s="4">
        <v>23.29059829059829</v>
      </c>
      <c r="N32" s="5">
        <v>495</v>
      </c>
      <c r="O32" s="1"/>
      <c r="P32" s="1"/>
      <c r="Q32" s="4"/>
    </row>
    <row r="33" spans="1:17" x14ac:dyDescent="0.2">
      <c r="A33" t="s">
        <v>69</v>
      </c>
      <c r="B33" t="s">
        <v>70</v>
      </c>
      <c r="C33" s="3">
        <v>6.2478459478572299</v>
      </c>
      <c r="D33">
        <v>6.8</v>
      </c>
      <c r="E33" s="4">
        <v>87.6</v>
      </c>
      <c r="F33" s="4">
        <v>42.205532976320001</v>
      </c>
      <c r="G33" s="3">
        <v>2.33</v>
      </c>
      <c r="H33" s="15">
        <v>9855</v>
      </c>
      <c r="I33" s="15">
        <v>47804</v>
      </c>
      <c r="J33" s="4">
        <v>843.3</v>
      </c>
      <c r="K33">
        <v>7.35</v>
      </c>
      <c r="L33" s="3">
        <v>2.5299999999999998</v>
      </c>
      <c r="M33" s="4">
        <v>30.784313725490197</v>
      </c>
      <c r="N33" s="5">
        <v>760</v>
      </c>
      <c r="O33" s="1"/>
      <c r="P33" s="1"/>
      <c r="Q33" s="4"/>
    </row>
    <row r="34" spans="1:17" x14ac:dyDescent="0.2">
      <c r="A34" t="s">
        <v>71</v>
      </c>
      <c r="B34" t="s">
        <v>72</v>
      </c>
      <c r="C34" s="3">
        <v>5.0826670703800296</v>
      </c>
      <c r="D34">
        <v>6.8</v>
      </c>
      <c r="E34" s="4">
        <v>86.5</v>
      </c>
      <c r="F34" s="4">
        <v>35.608711862579348</v>
      </c>
      <c r="G34" s="3">
        <v>7.46</v>
      </c>
      <c r="H34" s="15">
        <v>9775</v>
      </c>
      <c r="I34" s="15">
        <v>76381</v>
      </c>
      <c r="J34" s="4">
        <v>843.3</v>
      </c>
      <c r="K34">
        <v>7.01</v>
      </c>
      <c r="L34" s="3">
        <v>4.01</v>
      </c>
      <c r="M34" s="4">
        <v>31.085043988269796</v>
      </c>
      <c r="N34" s="5">
        <v>2545</v>
      </c>
      <c r="O34" s="1"/>
      <c r="P34" s="1"/>
      <c r="Q34" s="4"/>
    </row>
    <row r="36" spans="1:17" x14ac:dyDescent="0.2">
      <c r="L36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F0B0AA-532D-074E-84B4-EAD6D5E98D88}">
  <dimension ref="B1:N5"/>
  <sheetViews>
    <sheetView workbookViewId="0">
      <selection activeCell="C24" sqref="C24"/>
    </sheetView>
  </sheetViews>
  <sheetFormatPr baseColWidth="10" defaultRowHeight="16" x14ac:dyDescent="0.2"/>
  <cols>
    <col min="2" max="2" width="10.6640625" bestFit="1" customWidth="1"/>
    <col min="3" max="3" width="42.1640625" bestFit="1" customWidth="1"/>
    <col min="5" max="5" width="23.33203125" bestFit="1" customWidth="1"/>
    <col min="9" max="9" width="31.33203125" bestFit="1" customWidth="1"/>
    <col min="11" max="11" width="14.1640625" bestFit="1" customWidth="1"/>
    <col min="13" max="13" width="23.5" bestFit="1" customWidth="1"/>
    <col min="14" max="14" width="26" bestFit="1" customWidth="1"/>
  </cols>
  <sheetData>
    <row r="1" spans="2:14" x14ac:dyDescent="0.2">
      <c r="C1" s="7" t="s">
        <v>99</v>
      </c>
      <c r="D1" s="7" t="s">
        <v>74</v>
      </c>
      <c r="E1" s="8" t="s">
        <v>100</v>
      </c>
      <c r="F1" s="9" t="s">
        <v>75</v>
      </c>
      <c r="G1" s="10" t="s">
        <v>80</v>
      </c>
      <c r="H1" s="10" t="s">
        <v>81</v>
      </c>
      <c r="I1" s="11" t="s">
        <v>84</v>
      </c>
      <c r="J1" s="12" t="s">
        <v>89</v>
      </c>
      <c r="K1" s="12" t="s">
        <v>90</v>
      </c>
      <c r="L1" s="13" t="s">
        <v>101</v>
      </c>
      <c r="M1" s="13" t="s">
        <v>105</v>
      </c>
      <c r="N1" s="14" t="s">
        <v>107</v>
      </c>
    </row>
    <row r="2" spans="2:14" x14ac:dyDescent="0.2">
      <c r="B2" t="s">
        <v>118</v>
      </c>
      <c r="C2" s="3">
        <f>_xlfn.QUARTILE.INC(data!C$2:C$34,1)</f>
        <v>6.1220634533649898</v>
      </c>
      <c r="D2" s="3">
        <f>_xlfn.QUARTILE.INC(data!D$2:D$34,1)</f>
        <v>6.8</v>
      </c>
      <c r="E2" s="3">
        <f>_xlfn.QUARTILE.INC(data!E$2:E$34,1)</f>
        <v>88.8</v>
      </c>
      <c r="F2" s="3">
        <f>_xlfn.QUARTILE.INC(data!F$2:F$34,1)</f>
        <v>40.967720365675028</v>
      </c>
      <c r="G2" s="3">
        <f>_xlfn.QUARTILE.INC(data!G$2:G$34,1)</f>
        <v>2.57</v>
      </c>
      <c r="H2" s="3">
        <f>_xlfn.QUARTILE.INC(data!H$2:H$34,1)</f>
        <v>4734</v>
      </c>
      <c r="I2" s="3">
        <f>_xlfn.QUARTILE.INC(data!I$2:I$34,1)</f>
        <v>27981</v>
      </c>
      <c r="J2" s="3">
        <f>_xlfn.QUARTILE.INC(data!J$2:J$34,1)</f>
        <v>689.9</v>
      </c>
      <c r="K2" s="3">
        <f>_xlfn.QUARTILE.INC(data!K$2:K$34,1)</f>
        <v>7.2</v>
      </c>
      <c r="L2" s="3">
        <f>_xlfn.QUARTILE.INC(data!L$2:L$34,1)</f>
        <v>1.81</v>
      </c>
      <c r="M2" s="3">
        <f>_xlfn.QUARTILE.INC(data!M$2:M$34,1)</f>
        <v>23.326959847036331</v>
      </c>
      <c r="N2" s="3">
        <f>_xlfn.QUARTILE.INC(data!N$2:N$34,1)</f>
        <v>485</v>
      </c>
    </row>
    <row r="3" spans="2:14" x14ac:dyDescent="0.2">
      <c r="B3" t="s">
        <v>119</v>
      </c>
      <c r="C3" s="3">
        <f>_xlfn.QUARTILE.INC(data!C$2:C$34,2)</f>
        <v>7.5244878563464201</v>
      </c>
      <c r="D3" s="3">
        <f>_xlfn.QUARTILE.INC(data!D$2:D$34,2)</f>
        <v>6.8</v>
      </c>
      <c r="E3" s="3">
        <f>_xlfn.QUARTILE.INC(data!E$2:E$34,2)</f>
        <v>90.2</v>
      </c>
      <c r="F3" s="3">
        <f>_xlfn.QUARTILE.INC(data!F$2:F$34,2)</f>
        <v>45.29927062818809</v>
      </c>
      <c r="G3" s="3">
        <f>_xlfn.QUARTILE.INC(data!G$2:G$34,2)</f>
        <v>2.85</v>
      </c>
      <c r="H3" s="3">
        <f>_xlfn.QUARTILE.INC(data!H$2:H$34,2)</f>
        <v>6447</v>
      </c>
      <c r="I3" s="3">
        <f>_xlfn.QUARTILE.INC(data!I$2:I$34,2)</f>
        <v>31249</v>
      </c>
      <c r="J3" s="3">
        <f>_xlfn.QUARTILE.INC(data!J$2:J$34,2)</f>
        <v>727.4</v>
      </c>
      <c r="K3" s="3">
        <f>_xlfn.QUARTILE.INC(data!K$2:K$34,2)</f>
        <v>7.3240624999999984</v>
      </c>
      <c r="L3" s="3">
        <f>_xlfn.QUARTILE.INC(data!L$2:L$34,2)</f>
        <v>2.15</v>
      </c>
      <c r="M3" s="3">
        <f>_xlfn.QUARTILE.INC(data!M$2:M$34,2)</f>
        <v>29.313232830820766</v>
      </c>
      <c r="N3" s="3">
        <f>_xlfn.QUARTILE.INC(data!N$2:N$34,2)</f>
        <v>575</v>
      </c>
    </row>
    <row r="4" spans="2:14" x14ac:dyDescent="0.2">
      <c r="B4" t="s">
        <v>120</v>
      </c>
      <c r="C4" s="3">
        <f>_xlfn.QUARTILE.INC(data!C$2:C$34,3)</f>
        <v>8.5091017093624597</v>
      </c>
      <c r="D4" s="3">
        <f>_xlfn.QUARTILE.INC(data!D$2:D$34,3)</f>
        <v>6.8</v>
      </c>
      <c r="E4" s="3">
        <f>_xlfn.QUARTILE.INC(data!E$2:E$34,3)</f>
        <v>92.2</v>
      </c>
      <c r="F4" s="3">
        <f>_xlfn.QUARTILE.INC(data!F$2:F$34,3)</f>
        <v>54.976660054599535</v>
      </c>
      <c r="G4" s="3">
        <f>_xlfn.QUARTILE.INC(data!G$2:G$34,3)</f>
        <v>3.17</v>
      </c>
      <c r="H4" s="3">
        <f>_xlfn.QUARTILE.INC(data!H$2:H$34,3)</f>
        <v>9961</v>
      </c>
      <c r="I4" s="3">
        <f>_xlfn.QUARTILE.INC(data!I$2:I$34,3)</f>
        <v>37746</v>
      </c>
      <c r="J4" s="3">
        <f>_xlfn.QUARTILE.INC(data!J$2:J$34,3)</f>
        <v>788.6</v>
      </c>
      <c r="K4" s="3">
        <f>_xlfn.QUARTILE.INC(data!K$2:K$34,3)</f>
        <v>7.48</v>
      </c>
      <c r="L4" s="3">
        <f>_xlfn.QUARTILE.INC(data!L$2:L$34,3)</f>
        <v>2.5099999999999998</v>
      </c>
      <c r="M4" s="3">
        <f>_xlfn.QUARTILE.INC(data!M$2:M$34,3)</f>
        <v>35.489510489510486</v>
      </c>
      <c r="N4" s="3">
        <f>_xlfn.QUARTILE.INC(data!N$2:N$34,3)</f>
        <v>760</v>
      </c>
    </row>
    <row r="5" spans="2:14" x14ac:dyDescent="0.2">
      <c r="C5" s="3"/>
      <c r="D5" s="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36B59B-0BD5-564F-B019-9988D04BD584}">
  <dimension ref="A1:B72"/>
  <sheetViews>
    <sheetView topLeftCell="A37" workbookViewId="0">
      <selection activeCell="B75" sqref="B75"/>
    </sheetView>
  </sheetViews>
  <sheetFormatPr baseColWidth="10" defaultRowHeight="16" x14ac:dyDescent="0.2"/>
  <cols>
    <col min="1" max="1" width="95.6640625" bestFit="1" customWidth="1"/>
  </cols>
  <sheetData>
    <row r="1" spans="1:1" x14ac:dyDescent="0.2">
      <c r="A1" t="s">
        <v>0</v>
      </c>
    </row>
    <row r="2" spans="1:1" x14ac:dyDescent="0.2">
      <c r="A2" t="s">
        <v>1</v>
      </c>
    </row>
    <row r="3" spans="1:1" x14ac:dyDescent="0.2">
      <c r="A3" t="s">
        <v>2</v>
      </c>
    </row>
    <row r="5" spans="1:1" x14ac:dyDescent="0.2">
      <c r="A5" t="s">
        <v>3</v>
      </c>
    </row>
    <row r="6" spans="1:1" x14ac:dyDescent="0.2">
      <c r="A6" t="s">
        <v>4</v>
      </c>
    </row>
    <row r="12" spans="1:1" x14ac:dyDescent="0.2">
      <c r="A12" t="s">
        <v>73</v>
      </c>
    </row>
    <row r="13" spans="1:1" ht="17" x14ac:dyDescent="0.2">
      <c r="A13" s="2" t="s">
        <v>76</v>
      </c>
    </row>
    <row r="16" spans="1:1" x14ac:dyDescent="0.2">
      <c r="A16" t="s">
        <v>77</v>
      </c>
    </row>
    <row r="17" spans="1:1" x14ac:dyDescent="0.2">
      <c r="A17" t="s">
        <v>78</v>
      </c>
    </row>
    <row r="18" spans="1:1" x14ac:dyDescent="0.2">
      <c r="A18" t="s">
        <v>79</v>
      </c>
    </row>
    <row r="22" spans="1:1" x14ac:dyDescent="0.2">
      <c r="A22" t="s">
        <v>82</v>
      </c>
    </row>
    <row r="23" spans="1:1" x14ac:dyDescent="0.2">
      <c r="A23" t="s">
        <v>83</v>
      </c>
    </row>
    <row r="26" spans="1:1" x14ac:dyDescent="0.2">
      <c r="A26" t="s">
        <v>85</v>
      </c>
    </row>
    <row r="27" spans="1:1" x14ac:dyDescent="0.2">
      <c r="A27" t="s">
        <v>86</v>
      </c>
    </row>
    <row r="28" spans="1:1" x14ac:dyDescent="0.2">
      <c r="A28" t="s">
        <v>87</v>
      </c>
    </row>
    <row r="30" spans="1:1" x14ac:dyDescent="0.2">
      <c r="A30" t="s">
        <v>82</v>
      </c>
    </row>
    <row r="31" spans="1:1" x14ac:dyDescent="0.2">
      <c r="A31" t="s">
        <v>88</v>
      </c>
    </row>
    <row r="35" spans="1:1" x14ac:dyDescent="0.2">
      <c r="A35" t="s">
        <v>91</v>
      </c>
    </row>
    <row r="36" spans="1:1" x14ac:dyDescent="0.2">
      <c r="A36" t="s">
        <v>92</v>
      </c>
    </row>
    <row r="37" spans="1:1" x14ac:dyDescent="0.2">
      <c r="A37" t="s">
        <v>93</v>
      </c>
    </row>
    <row r="39" spans="1:1" x14ac:dyDescent="0.2">
      <c r="A39" t="s">
        <v>82</v>
      </c>
    </row>
    <row r="40" spans="1:1" x14ac:dyDescent="0.2">
      <c r="A40" t="s">
        <v>94</v>
      </c>
    </row>
    <row r="43" spans="1:1" x14ac:dyDescent="0.2">
      <c r="A43" t="s">
        <v>95</v>
      </c>
    </row>
    <row r="44" spans="1:1" x14ac:dyDescent="0.2">
      <c r="A44" t="s">
        <v>96</v>
      </c>
    </row>
    <row r="45" spans="1:1" x14ac:dyDescent="0.2">
      <c r="A45" t="s">
        <v>97</v>
      </c>
    </row>
    <row r="47" spans="1:1" x14ac:dyDescent="0.2">
      <c r="A47" t="s">
        <v>82</v>
      </c>
    </row>
    <row r="48" spans="1:1" x14ac:dyDescent="0.2">
      <c r="A48" t="s">
        <v>98</v>
      </c>
    </row>
    <row r="54" spans="1:1" x14ac:dyDescent="0.2">
      <c r="A54" t="s">
        <v>102</v>
      </c>
    </row>
    <row r="55" spans="1:1" x14ac:dyDescent="0.2">
      <c r="A55" t="s">
        <v>103</v>
      </c>
    </row>
    <row r="56" spans="1:1" x14ac:dyDescent="0.2">
      <c r="A56" t="s">
        <v>97</v>
      </c>
    </row>
    <row r="58" spans="1:1" x14ac:dyDescent="0.2">
      <c r="A58" t="s">
        <v>82</v>
      </c>
    </row>
    <row r="59" spans="1:1" x14ac:dyDescent="0.2">
      <c r="A59" t="s">
        <v>104</v>
      </c>
    </row>
    <row r="62" spans="1:1" x14ac:dyDescent="0.2">
      <c r="A62" t="s">
        <v>106</v>
      </c>
    </row>
    <row r="68" spans="1:2" x14ac:dyDescent="0.2">
      <c r="A68" s="6" t="s">
        <v>108</v>
      </c>
      <c r="B68" s="6" t="s">
        <v>109</v>
      </c>
    </row>
    <row r="69" spans="1:2" x14ac:dyDescent="0.2">
      <c r="A69" t="s">
        <v>110</v>
      </c>
      <c r="B69" t="s">
        <v>111</v>
      </c>
    </row>
    <row r="70" spans="1:2" x14ac:dyDescent="0.2">
      <c r="A70" t="s">
        <v>112</v>
      </c>
      <c r="B70" t="s">
        <v>113</v>
      </c>
    </row>
    <row r="71" spans="1:2" x14ac:dyDescent="0.2">
      <c r="A71" t="s">
        <v>114</v>
      </c>
      <c r="B71" t="s">
        <v>115</v>
      </c>
    </row>
    <row r="72" spans="1:2" x14ac:dyDescent="0.2">
      <c r="A72" t="s">
        <v>116</v>
      </c>
      <c r="B72" t="s">
        <v>117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scale slider</vt:lpstr>
      <vt:lpstr>notes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office22474</dc:creator>
  <cp:lastModifiedBy>office22474</cp:lastModifiedBy>
  <dcterms:created xsi:type="dcterms:W3CDTF">2025-11-05T14:31:41Z</dcterms:created>
  <dcterms:modified xsi:type="dcterms:W3CDTF">2025-11-08T16:26:51Z</dcterms:modified>
</cp:coreProperties>
</file>